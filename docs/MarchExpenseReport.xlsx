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olan\Documents\PhytoPi\Documentation\"/>
    </mc:Choice>
  </mc:AlternateContent>
  <xr:revisionPtr revIDLastSave="0" documentId="8_{AE33C8A0-D5A2-478E-B98F-83DB8F007669}" xr6:coauthVersionLast="47" xr6:coauthVersionMax="47" xr10:uidLastSave="{00000000-0000-0000-0000-000000000000}"/>
  <bookViews>
    <workbookView xWindow="28680" yWindow="-9450" windowWidth="29040" windowHeight="15720" xr2:uid="{00000000-000D-0000-FFFF-FFFF00000000}"/>
  </bookViews>
  <sheets>
    <sheet name="Template" sheetId="2" r:id="rId1"/>
    <sheet name="September 2023" sheetId="1" r:id="rId2"/>
    <sheet name="October 2023" sheetId="3" r:id="rId3"/>
    <sheet name="November 2023" sheetId="4" r:id="rId4"/>
    <sheet name="December 2023" sheetId="5" r:id="rId5"/>
    <sheet name="January 2024" sheetId="6" r:id="rId6"/>
    <sheet name="February 2024" sheetId="7" r:id="rId7"/>
    <sheet name="March 2024" sheetId="8" r:id="rId8"/>
    <sheet name="April 2024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8" i="2"/>
  <c r="B19" i="2"/>
  <c r="B20" i="2"/>
  <c r="B21" i="2"/>
  <c r="B22" i="2"/>
  <c r="G21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G15" i="2"/>
</calcChain>
</file>

<file path=xl/sharedStrings.xml><?xml version="1.0" encoding="utf-8"?>
<sst xmlns="http://schemas.openxmlformats.org/spreadsheetml/2006/main" count="89" uniqueCount="50">
  <si>
    <t>ID</t>
  </si>
  <si>
    <t>Date of Purcahse</t>
  </si>
  <si>
    <t>Vendor</t>
  </si>
  <si>
    <t>Item</t>
  </si>
  <si>
    <t>Price per Unit</t>
  </si>
  <si>
    <t>Quantity</t>
  </si>
  <si>
    <t>Purchase Method (ordered or Card Check out)</t>
  </si>
  <si>
    <t>Total Cost</t>
  </si>
  <si>
    <t>Monthly Total</t>
  </si>
  <si>
    <t>Project Total</t>
  </si>
  <si>
    <t>Blackout Drapery Shade Fabric Black and Silver 100 Percent Shading Light Waterproof Sunshade Cloth Light Weight (1Yard)</t>
  </si>
  <si>
    <t xml:space="preserve">B06XRYPMV7 </t>
  </si>
  <si>
    <t>Amazon</t>
  </si>
  <si>
    <t>Ordered</t>
  </si>
  <si>
    <t>VIVOSUN Highly Reflective Mylar Film Roll 4FT x 25FT for Outdoor Grow Room Indoor Decoration Aluminum Paint Coated 2 Mil Silver</t>
  </si>
  <si>
    <t xml:space="preserve">Art3d 10ft x 2 in. Hook and Loop Rolls Sticky Back, Double-Sided Adhesive Strip, Heavy Duty, White </t>
  </si>
  <si>
    <t xml:space="preserve">CQRobot Contact Multi-Point Photoelectric Liquid Level Sensor Compatible with Arduino and Raspberry Pi. for Automatic Irrigation Systems, Aquariums, Plants, in The Garden, in Agriculture etc. </t>
  </si>
  <si>
    <t>GeeekPi 2PCS PWM Controllable Quiet 4010 Fan 40x40x10mm DC 5V for Raspberry Pi 4, 3 B+, Pi 3 (Black)</t>
  </si>
  <si>
    <t>B092YXQMX5</t>
  </si>
  <si>
    <t xml:space="preserve">B0CKQXH9DY </t>
  </si>
  <si>
    <t xml:space="preserve">B018VI75CS </t>
  </si>
  <si>
    <t>B0D5XMGCLM</t>
  </si>
  <si>
    <t>5A DC-DC Adjustable Buck Converter 4~38v to 1.25-36v Step Down Power Supply High Efficiency Voltage Regulator Module</t>
  </si>
  <si>
    <t>WAGO 221-2401 Lever Nuts Compact Splicing Inline Wire Connectors with Case | 12pc</t>
  </si>
  <si>
    <t>5PCS DC 5V-36V 15A(Max 30A) 400W Dual High-Power MOSFET Trigger Switch Drive Module 0-20KHz PWM Adjustment Electronic Switch Control Board Motor Speed Control Lamp Brightness Control</t>
  </si>
  <si>
    <t>JOYLIT 30MM Wide COB LED Strip Lights 24V Cool White 6000K 16.4FT/5M 8000LEDs 22000LM Ultra Bright, 5 Rows LED Tape Light CRI 90+ 160W Dimmable Indoor Light Strip for Commercial, Home, Industrial</t>
  </si>
  <si>
    <t>MEAN WELL LRS-350-24 350.4W 24V 14.6 Amp Single Output Switchable Power</t>
  </si>
  <si>
    <t>18 awg Silicone Electrical Wire 2 Conductor Parallel Wire line 60ft [Black 30ft Red 30ft] 18 Gauge Soft and Flexible Hook Up Oxygen Free Strands Tinned Copper Wire</t>
  </si>
  <si>
    <t>Hooshing Silicone Tubing 5mm ID x 7mm OD 10 Ft Food Grade Flexible Pure Silicone Rubber Tubing Hose High Temp for Home Brewing Winemaking Pump Transfer</t>
  </si>
  <si>
    <t>7 Inch LCD Touch Screen, 1024x600 IPS Display with Stand, HDMI Portable Monitor for Raspberry Pi 5/4B/3B+/3B/B+/Zero/400, BB Black, Windows 10 8 7, Free Driver</t>
  </si>
  <si>
    <t>Standard 5ft (1.5m) 10 Amps 125 Volts Black 3 Prong AC Power Cord Cable for Electronics, TV, Computer, Printer, Radio, Monitor, Samsung, Dell, Vizio, LG, Asus, Laptop and More</t>
  </si>
  <si>
    <t>NexiGo N60 1080P Webcam with Microphone, Software Control &amp; Privacy Cover, USB HD Computer Web Camera, Plug and Play, for Zoom/Skype/Teams, Conferencing and Video Calling</t>
  </si>
  <si>
    <t>B088TSR6YJ</t>
  </si>
  <si>
    <t xml:space="preserve">B09VRLJD7J </t>
  </si>
  <si>
    <t xml:space="preserve">B0CRRB1GFN </t>
  </si>
  <si>
    <t xml:space="preserve">B07FMRDP87 </t>
  </si>
  <si>
    <t>B08PTY2ZHQ</t>
  </si>
  <si>
    <t>B0D3PMBPCC</t>
  </si>
  <si>
    <t xml:space="preserve">B013ETVO12 </t>
  </si>
  <si>
    <t xml:space="preserve">B0BZ5XHW23 </t>
  </si>
  <si>
    <t xml:space="preserve">B07NWD8W26 </t>
  </si>
  <si>
    <t>B079N9BFZC</t>
  </si>
  <si>
    <t>Canal Plastics</t>
  </si>
  <si>
    <t>Adafruit</t>
  </si>
  <si>
    <t>Hook-up Wire Spool Set - 22AWG Stranded-Core - 6 x 25ft</t>
  </si>
  <si>
    <t>Official Raspberry Pi A2-Class microSD Card - 32GB Blank</t>
  </si>
  <si>
    <t>Submersible 3V DC Water Pump - 1 Meter Vertical Type</t>
  </si>
  <si>
    <t>BME680 (Temp/Humidity/C02)</t>
  </si>
  <si>
    <t>64x32 RGB LED Matrix - 4mm pitch</t>
  </si>
  <si>
    <t>Clear Colorless Acrylic Square Tube 1/2'' diameter 36''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</si>
</sst>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1" fillId="2" borderId="0" xfId="0" applyFont="1" applyFill="1"/>
    <xf numFmtId="0" fontId="1" fillId="0" borderId="0" xfId="0" applyFont="1" applyAlignment="1">
      <alignment horizontal="right"/>
    </xf>
    <xf numFmtId="14" fontId="0" fillId="0" borderId="3" xfId="0" applyNumberFormat="1" applyBorder="1"/>
    <xf numFmtId="0" fontId="2" fillId="2" borderId="0" xfId="0" applyFont="1" applyFill="1"/>
    <xf numFmtId="14" fontId="0" fillId="0" borderId="0" xfId="0" applyNumberFormat="1" applyBorder="1"/>
    <xf numFmtId="0" fontId="0" fillId="0" borderId="0" xfId="0" applyBorder="1"/>
    <xf numFmtId="1" fontId="0" fillId="0" borderId="0" xfId="0" applyNumberFormat="1"/>
    <xf numFmtId="0" fontId="0" fillId="0" borderId="0" xfId="0" applyFill="1" applyBorder="1"/>
    <xf numFmtId="0" fontId="1" fillId="3" borderId="0" xfId="0" applyFont="1" applyFill="1"/>
    <xf numFmtId="0" fontId="1" fillId="0" borderId="0" xfId="0" applyFont="1"/>
    <xf numFmtId="16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30" sqref="C30"/>
    </sheetView>
  </sheetViews>
  <sheetFormatPr defaultColWidth="8.77734375" defaultRowHeight="14.4" x14ac:dyDescent="0.3"/>
  <cols>
    <col min="1" max="1" width="14.6640625" bestFit="1" customWidth="1"/>
    <col min="2" max="2" width="23.109375" customWidth="1"/>
    <col min="3" max="3" width="35.109375" customWidth="1"/>
    <col min="4" max="4" width="32.44140625" customWidth="1"/>
    <col min="5" max="5" width="13.109375" bestFit="1" customWidth="1"/>
    <col min="7" max="7" width="26" customWidth="1"/>
    <col min="8" max="8" width="42.4414062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3" t="s">
        <v>6</v>
      </c>
    </row>
    <row r="2" spans="1:8" ht="15" thickBot="1" x14ac:dyDescent="0.35">
      <c r="A2" s="8" t="s">
        <v>11</v>
      </c>
      <c r="B2" s="9">
        <v>46042</v>
      </c>
      <c r="C2" s="2" t="s">
        <v>12</v>
      </c>
      <c r="D2" s="7" t="s">
        <v>10</v>
      </c>
      <c r="E2" s="2">
        <v>7.99</v>
      </c>
      <c r="F2" s="2">
        <v>1</v>
      </c>
      <c r="G2" s="2">
        <v>8.7200000000000006</v>
      </c>
      <c r="H2" s="3" t="s">
        <v>13</v>
      </c>
    </row>
    <row r="3" spans="1:8" ht="15" thickBot="1" x14ac:dyDescent="0.35">
      <c r="A3" s="8" t="s">
        <v>20</v>
      </c>
      <c r="B3" s="9">
        <f>B2</f>
        <v>46042</v>
      </c>
      <c r="C3" s="2" t="s">
        <v>12</v>
      </c>
      <c r="D3" s="7" t="s">
        <v>14</v>
      </c>
      <c r="E3">
        <v>26.59</v>
      </c>
      <c r="F3">
        <v>1</v>
      </c>
      <c r="G3">
        <v>29.01</v>
      </c>
      <c r="H3" s="3" t="s">
        <v>13</v>
      </c>
    </row>
    <row r="4" spans="1:8" ht="15" thickBot="1" x14ac:dyDescent="0.35">
      <c r="A4" s="8" t="s">
        <v>19</v>
      </c>
      <c r="B4" s="9">
        <f t="shared" ref="B4:B22" si="0">B3</f>
        <v>46042</v>
      </c>
      <c r="C4" s="2" t="s">
        <v>12</v>
      </c>
      <c r="D4" s="7" t="s">
        <v>15</v>
      </c>
      <c r="E4">
        <v>14.99</v>
      </c>
      <c r="F4">
        <v>1</v>
      </c>
      <c r="G4">
        <v>14.99</v>
      </c>
      <c r="H4" s="3" t="s">
        <v>13</v>
      </c>
    </row>
    <row r="5" spans="1:8" ht="15" thickBot="1" x14ac:dyDescent="0.35">
      <c r="A5" s="8" t="s">
        <v>21</v>
      </c>
      <c r="B5" s="9">
        <f t="shared" si="0"/>
        <v>46042</v>
      </c>
      <c r="C5" s="2" t="s">
        <v>12</v>
      </c>
      <c r="D5" s="10" t="s">
        <v>16</v>
      </c>
      <c r="E5">
        <v>19.989999999999998</v>
      </c>
      <c r="F5">
        <v>1</v>
      </c>
      <c r="G5">
        <v>23.17</v>
      </c>
      <c r="H5" s="3" t="s">
        <v>13</v>
      </c>
    </row>
    <row r="6" spans="1:8" ht="15" thickBot="1" x14ac:dyDescent="0.35">
      <c r="A6" s="8" t="s">
        <v>41</v>
      </c>
      <c r="B6" s="9">
        <f t="shared" si="0"/>
        <v>46042</v>
      </c>
      <c r="C6" s="2" t="s">
        <v>12</v>
      </c>
      <c r="D6" s="7" t="s">
        <v>22</v>
      </c>
      <c r="E6">
        <v>13.99</v>
      </c>
      <c r="F6">
        <v>1</v>
      </c>
      <c r="G6">
        <v>13.99</v>
      </c>
      <c r="H6" s="3" t="s">
        <v>13</v>
      </c>
    </row>
    <row r="7" spans="1:8" ht="15" thickBot="1" x14ac:dyDescent="0.35">
      <c r="A7" s="8" t="s">
        <v>39</v>
      </c>
      <c r="B7" s="9">
        <f t="shared" si="0"/>
        <v>46042</v>
      </c>
      <c r="C7" s="2" t="s">
        <v>12</v>
      </c>
      <c r="D7" s="7" t="s">
        <v>23</v>
      </c>
      <c r="E7">
        <v>11.91</v>
      </c>
      <c r="F7">
        <v>1</v>
      </c>
      <c r="G7">
        <v>11.91</v>
      </c>
      <c r="H7" s="3" t="s">
        <v>13</v>
      </c>
    </row>
    <row r="8" spans="1:8" ht="15" thickBot="1" x14ac:dyDescent="0.35">
      <c r="A8" s="8" t="s">
        <v>40</v>
      </c>
      <c r="B8" s="9">
        <f t="shared" si="0"/>
        <v>46042</v>
      </c>
      <c r="C8" s="2" t="s">
        <v>12</v>
      </c>
      <c r="D8" s="7" t="s">
        <v>24</v>
      </c>
      <c r="E8">
        <v>8.39</v>
      </c>
      <c r="F8">
        <v>1</v>
      </c>
      <c r="G8">
        <v>8.39</v>
      </c>
      <c r="H8" s="3" t="s">
        <v>13</v>
      </c>
    </row>
    <row r="9" spans="1:8" ht="15" thickBot="1" x14ac:dyDescent="0.35">
      <c r="A9" s="8" t="s">
        <v>37</v>
      </c>
      <c r="B9" s="9">
        <f t="shared" si="0"/>
        <v>46042</v>
      </c>
      <c r="C9" s="2" t="s">
        <v>12</v>
      </c>
      <c r="D9" s="7" t="s">
        <v>25</v>
      </c>
      <c r="E9">
        <v>49</v>
      </c>
      <c r="F9">
        <v>1</v>
      </c>
      <c r="G9">
        <v>49</v>
      </c>
      <c r="H9" s="3" t="s">
        <v>13</v>
      </c>
    </row>
    <row r="10" spans="1:8" ht="15" thickBot="1" x14ac:dyDescent="0.35">
      <c r="A10" s="8" t="s">
        <v>38</v>
      </c>
      <c r="B10" s="9">
        <f t="shared" si="0"/>
        <v>46042</v>
      </c>
      <c r="C10" s="2" t="s">
        <v>12</v>
      </c>
      <c r="D10" s="7" t="s">
        <v>26</v>
      </c>
      <c r="E10">
        <v>28.54</v>
      </c>
      <c r="F10">
        <v>1</v>
      </c>
      <c r="G10">
        <v>28.54</v>
      </c>
      <c r="H10" s="3" t="s">
        <v>13</v>
      </c>
    </row>
    <row r="11" spans="1:8" ht="15" thickBot="1" x14ac:dyDescent="0.35">
      <c r="A11" s="8" t="s">
        <v>36</v>
      </c>
      <c r="B11" s="9">
        <f t="shared" si="0"/>
        <v>46042</v>
      </c>
      <c r="C11" s="2" t="s">
        <v>12</v>
      </c>
      <c r="D11" s="7" t="s">
        <v>28</v>
      </c>
      <c r="E11">
        <v>8.98</v>
      </c>
      <c r="F11">
        <v>1</v>
      </c>
      <c r="G11">
        <v>8.98</v>
      </c>
      <c r="H11" s="3" t="s">
        <v>13</v>
      </c>
    </row>
    <row r="12" spans="1:8" ht="15" thickBot="1" x14ac:dyDescent="0.35">
      <c r="A12" s="8" t="s">
        <v>35</v>
      </c>
      <c r="B12" s="9">
        <f t="shared" si="0"/>
        <v>46042</v>
      </c>
      <c r="C12" s="2" t="s">
        <v>12</v>
      </c>
      <c r="D12" s="7" t="s">
        <v>27</v>
      </c>
      <c r="E12">
        <v>12.98</v>
      </c>
      <c r="F12">
        <v>1</v>
      </c>
      <c r="G12">
        <v>12.98</v>
      </c>
      <c r="H12" s="3" t="s">
        <v>13</v>
      </c>
    </row>
    <row r="13" spans="1:8" ht="15" thickBot="1" x14ac:dyDescent="0.35">
      <c r="A13" s="8" t="s">
        <v>34</v>
      </c>
      <c r="B13" s="9">
        <f t="shared" si="0"/>
        <v>46042</v>
      </c>
      <c r="C13" s="2" t="s">
        <v>12</v>
      </c>
      <c r="D13" s="7" t="s">
        <v>29</v>
      </c>
      <c r="E13">
        <v>37.99</v>
      </c>
      <c r="F13">
        <v>1</v>
      </c>
      <c r="G13">
        <v>37.99</v>
      </c>
      <c r="H13" s="3" t="s">
        <v>13</v>
      </c>
    </row>
    <row r="14" spans="1:8" ht="15" thickBot="1" x14ac:dyDescent="0.35">
      <c r="A14" s="8" t="s">
        <v>33</v>
      </c>
      <c r="B14" s="9">
        <f t="shared" si="0"/>
        <v>46042</v>
      </c>
      <c r="C14" s="2" t="s">
        <v>12</v>
      </c>
      <c r="D14" s="7" t="s">
        <v>30</v>
      </c>
      <c r="E14">
        <v>6</v>
      </c>
      <c r="F14">
        <v>1</v>
      </c>
      <c r="G14">
        <v>6</v>
      </c>
      <c r="H14" s="3" t="s">
        <v>13</v>
      </c>
    </row>
    <row r="15" spans="1:8" ht="15" thickBot="1" x14ac:dyDescent="0.35">
      <c r="A15" s="8" t="s">
        <v>32</v>
      </c>
      <c r="B15" s="9">
        <f t="shared" si="0"/>
        <v>46042</v>
      </c>
      <c r="C15" s="2" t="s">
        <v>12</v>
      </c>
      <c r="D15" s="7" t="s">
        <v>31</v>
      </c>
      <c r="E15">
        <v>21.97</v>
      </c>
      <c r="F15">
        <v>1</v>
      </c>
      <c r="G15">
        <f>E15+18.11</f>
        <v>40.08</v>
      </c>
      <c r="H15" s="3" t="s">
        <v>13</v>
      </c>
    </row>
    <row r="16" spans="1:8" ht="15" thickBot="1" x14ac:dyDescent="0.35">
      <c r="A16" s="8" t="s">
        <v>18</v>
      </c>
      <c r="B16" s="9">
        <f t="shared" si="0"/>
        <v>46042</v>
      </c>
      <c r="C16" s="2" t="s">
        <v>12</v>
      </c>
      <c r="D16" s="7" t="s">
        <v>17</v>
      </c>
      <c r="E16">
        <v>10.89</v>
      </c>
      <c r="F16">
        <v>1</v>
      </c>
      <c r="G16">
        <v>11.88</v>
      </c>
      <c r="H16" s="3" t="s">
        <v>13</v>
      </c>
    </row>
    <row r="17" spans="1:8" ht="15" thickBot="1" x14ac:dyDescent="0.35">
      <c r="A17" s="8">
        <v>3111</v>
      </c>
      <c r="B17" s="9">
        <f t="shared" si="0"/>
        <v>46042</v>
      </c>
      <c r="C17" s="14" t="s">
        <v>43</v>
      </c>
      <c r="D17" s="15" t="s">
        <v>44</v>
      </c>
      <c r="E17">
        <v>19.95</v>
      </c>
      <c r="F17">
        <v>1</v>
      </c>
      <c r="G17">
        <v>19.95</v>
      </c>
      <c r="H17" s="3" t="s">
        <v>13</v>
      </c>
    </row>
    <row r="18" spans="1:8" ht="15" thickBot="1" x14ac:dyDescent="0.35">
      <c r="A18" s="8">
        <v>6010</v>
      </c>
      <c r="B18" s="9">
        <f t="shared" si="0"/>
        <v>46042</v>
      </c>
      <c r="C18" s="14" t="s">
        <v>43</v>
      </c>
      <c r="D18" s="15" t="s">
        <v>45</v>
      </c>
      <c r="E18">
        <v>13.69</v>
      </c>
      <c r="F18">
        <v>1</v>
      </c>
      <c r="G18">
        <v>13.69</v>
      </c>
      <c r="H18" s="3" t="s">
        <v>13</v>
      </c>
    </row>
    <row r="19" spans="1:8" ht="15" thickBot="1" x14ac:dyDescent="0.35">
      <c r="A19" s="8">
        <v>4547</v>
      </c>
      <c r="B19" s="9">
        <f t="shared" si="0"/>
        <v>46042</v>
      </c>
      <c r="C19" s="14" t="s">
        <v>43</v>
      </c>
      <c r="D19" s="16" t="s">
        <v>46</v>
      </c>
      <c r="E19">
        <v>2.95</v>
      </c>
      <c r="F19">
        <v>1</v>
      </c>
      <c r="G19">
        <v>2.95</v>
      </c>
      <c r="H19" s="3" t="s">
        <v>13</v>
      </c>
    </row>
    <row r="20" spans="1:8" ht="15" thickBot="1" x14ac:dyDescent="0.35">
      <c r="A20" s="8">
        <v>3660</v>
      </c>
      <c r="B20" s="9">
        <f t="shared" si="0"/>
        <v>46042</v>
      </c>
      <c r="C20" s="14" t="s">
        <v>43</v>
      </c>
      <c r="D20" s="7" t="s">
        <v>47</v>
      </c>
      <c r="E20">
        <v>18.95</v>
      </c>
      <c r="F20">
        <v>1</v>
      </c>
      <c r="G20">
        <v>18.95</v>
      </c>
      <c r="H20" s="3" t="s">
        <v>13</v>
      </c>
    </row>
    <row r="21" spans="1:8" ht="15" thickBot="1" x14ac:dyDescent="0.35">
      <c r="A21" s="8">
        <v>2278</v>
      </c>
      <c r="B21" s="9">
        <f t="shared" si="0"/>
        <v>46042</v>
      </c>
      <c r="C21" s="14" t="s">
        <v>43</v>
      </c>
      <c r="D21" s="16" t="s">
        <v>48</v>
      </c>
      <c r="E21">
        <v>39.950000000000003</v>
      </c>
      <c r="F21">
        <v>1</v>
      </c>
      <c r="G21">
        <f>E21+10.76+8.69</f>
        <v>59.4</v>
      </c>
      <c r="H21" s="3" t="s">
        <v>13</v>
      </c>
    </row>
    <row r="22" spans="1:8" ht="15" thickBot="1" x14ac:dyDescent="0.35">
      <c r="A22" s="13">
        <v>33457657422</v>
      </c>
      <c r="B22" s="9">
        <f t="shared" si="0"/>
        <v>46042</v>
      </c>
      <c r="C22" s="12" t="s">
        <v>42</v>
      </c>
      <c r="D22" s="16" t="s">
        <v>49</v>
      </c>
      <c r="E22" s="17">
        <v>3.8</v>
      </c>
      <c r="F22">
        <v>4</v>
      </c>
      <c r="G22" s="17">
        <v>28.79</v>
      </c>
      <c r="H22" s="3" t="s">
        <v>13</v>
      </c>
    </row>
    <row r="23" spans="1:8" ht="15" thickBot="1" x14ac:dyDescent="0.35">
      <c r="A23" s="8"/>
      <c r="B23" s="11"/>
      <c r="C23" s="12"/>
      <c r="D23" s="7"/>
      <c r="H23" s="3"/>
    </row>
    <row r="24" spans="1:8" ht="15" thickBot="1" x14ac:dyDescent="0.35">
      <c r="A24" s="4"/>
      <c r="B24" s="5"/>
      <c r="C24" s="5"/>
      <c r="D24" s="5"/>
      <c r="E24" s="5"/>
      <c r="F24" s="5"/>
      <c r="G24" s="5"/>
      <c r="H24" s="3" t="s">
        <v>13</v>
      </c>
    </row>
    <row r="25" spans="1:8" ht="15" thickBot="1" x14ac:dyDescent="0.35">
      <c r="G25" s="6">
        <v>0</v>
      </c>
      <c r="H25" t="s">
        <v>8</v>
      </c>
    </row>
    <row r="26" spans="1:8" ht="15" thickBot="1" x14ac:dyDescent="0.35">
      <c r="G26" s="6">
        <v>449.36</v>
      </c>
      <c r="H2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4C151D606EE6498BCDE1460AD6FC1D" ma:contentTypeVersion="18" ma:contentTypeDescription="Create a new document." ma:contentTypeScope="" ma:versionID="4a401034d79f08767c14af28143376dd">
  <xsd:schema xmlns:xsd="http://www.w3.org/2001/XMLSchema" xmlns:xs="http://www.w3.org/2001/XMLSchema" xmlns:p="http://schemas.microsoft.com/office/2006/metadata/properties" xmlns:ns1="http://schemas.microsoft.com/sharepoint/v3" xmlns:ns3="963c7518-d1c0-4d18-ab17-c972d2ddd9bd" xmlns:ns4="f86f4d04-f249-4094-a26f-e6910d7f725b" targetNamespace="http://schemas.microsoft.com/office/2006/metadata/properties" ma:root="true" ma:fieldsID="ef7ade742f660bc1598462c82942b19e" ns1:_="" ns3:_="" ns4:_="">
    <xsd:import namespace="http://schemas.microsoft.com/sharepoint/v3"/>
    <xsd:import namespace="963c7518-d1c0-4d18-ab17-c972d2ddd9bd"/>
    <xsd:import namespace="f86f4d04-f249-4094-a26f-e6910d7f725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c7518-d1c0-4d18-ab17-c972d2ddd9b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f4d04-f249-4094-a26f-e6910d7f7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f86f4d04-f249-4094-a26f-e6910d7f725b" xsi:nil="true"/>
  </documentManagement>
</p:properties>
</file>

<file path=customXml/itemProps1.xml><?xml version="1.0" encoding="utf-8"?>
<ds:datastoreItem xmlns:ds="http://schemas.openxmlformats.org/officeDocument/2006/customXml" ds:itemID="{AAB69DBC-1358-40B2-ABBF-EE33C9581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3c7518-d1c0-4d18-ab17-c972d2ddd9bd"/>
    <ds:schemaRef ds:uri="f86f4d04-f249-4094-a26f-e6910d7f7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1175D-1C4D-45F3-911F-0371A206C6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B8595-608F-4AED-93AC-153542322207}">
  <ds:schemaRefs>
    <ds:schemaRef ds:uri="http://schemas.microsoft.com/office/2006/metadata/properties"/>
    <ds:schemaRef ds:uri="963c7518-d1c0-4d18-ab17-c972d2ddd9bd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f86f4d04-f249-4094-a26f-e6910d7f725b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September 2023</vt:lpstr>
      <vt:lpstr>October 2023</vt:lpstr>
      <vt:lpstr>November 2023</vt:lpstr>
      <vt:lpstr>December 2023</vt:lpstr>
      <vt:lpstr>January 2024</vt:lpstr>
      <vt:lpstr>February 2024</vt:lpstr>
      <vt:lpstr>March 2024</vt:lpstr>
      <vt:lpstr>April 2024</vt:lpstr>
    </vt:vector>
  </TitlesOfParts>
  <Company>Grand Canyon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Nolan P Tuttle</cp:lastModifiedBy>
  <dcterms:created xsi:type="dcterms:W3CDTF">2023-08-29T19:16:16Z</dcterms:created>
  <dcterms:modified xsi:type="dcterms:W3CDTF">2026-03-07T06:53:02Z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0x010100D04C151D606EE6498BCDE1460AD6FC1D</vt:lpwstr>
  </property>
</Properties>
</file>